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_\Documents\ACADEMICAS\INNOEDU\PAO II 2025 (1)\"/>
    </mc:Choice>
  </mc:AlternateContent>
  <xr:revisionPtr revIDLastSave="0" documentId="13_ncr:1_{9308F35F-F845-4B16-BB02-5E05668146D1}" xr6:coauthVersionLast="47" xr6:coauthVersionMax="47" xr10:uidLastSave="{00000000-0000-0000-0000-000000000000}"/>
  <bookViews>
    <workbookView xWindow="-108" yWindow="-108" windowWidth="23256" windowHeight="12576" activeTab="1" xr2:uid="{F7E30BD3-1333-49F9-9381-9250C260A9E1}"/>
  </bookViews>
  <sheets>
    <sheet name="Rint" sheetId="18" r:id="rId1"/>
    <sheet name="Rext" sheetId="1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9" l="1"/>
  <c r="M11" i="19" s="1"/>
  <c r="L13" i="19"/>
  <c r="L12" i="19"/>
  <c r="L11" i="19"/>
  <c r="L10" i="19"/>
  <c r="L9" i="19"/>
  <c r="L8" i="19"/>
  <c r="L7" i="19"/>
  <c r="L6" i="19"/>
  <c r="L5" i="19"/>
  <c r="L4" i="19"/>
  <c r="L5" i="18"/>
  <c r="L6" i="18"/>
  <c r="L7" i="18"/>
  <c r="L8" i="18"/>
  <c r="L9" i="18"/>
  <c r="L10" i="18"/>
  <c r="L11" i="18"/>
  <c r="L12" i="18"/>
  <c r="L13" i="18"/>
  <c r="L4" i="18"/>
  <c r="D17" i="18"/>
  <c r="D26" i="18" s="1"/>
  <c r="M9" i="19" l="1"/>
  <c r="M5" i="19"/>
  <c r="M13" i="19"/>
  <c r="M4" i="19"/>
  <c r="M8" i="19"/>
  <c r="M12" i="19"/>
  <c r="M6" i="19"/>
  <c r="M10" i="19"/>
  <c r="D25" i="19"/>
  <c r="D26" i="19"/>
  <c r="M7" i="19"/>
  <c r="M12" i="18"/>
  <c r="M11" i="18"/>
  <c r="M10" i="18"/>
  <c r="M9" i="18"/>
  <c r="M4" i="18"/>
  <c r="M7" i="18"/>
  <c r="M6" i="18"/>
  <c r="M8" i="18"/>
  <c r="M13" i="18"/>
  <c r="M5" i="18"/>
  <c r="D25" i="18"/>
  <c r="D27" i="18" s="1"/>
  <c r="D27" i="19" l="1"/>
</calcChain>
</file>

<file path=xl/sharedStrings.xml><?xml version="1.0" encoding="utf-8"?>
<sst xmlns="http://schemas.openxmlformats.org/spreadsheetml/2006/main" count="114" uniqueCount="43">
  <si>
    <t>Variables</t>
  </si>
  <si>
    <t>Ángulo del plano inclinado</t>
  </si>
  <si>
    <t>Contra peso</t>
  </si>
  <si>
    <t>Valor</t>
  </si>
  <si>
    <t>Unidad</t>
  </si>
  <si>
    <t>kg</t>
  </si>
  <si>
    <t>deg</t>
  </si>
  <si>
    <t>θ</t>
  </si>
  <si>
    <t>M</t>
  </si>
  <si>
    <t>Masa del cilindro</t>
  </si>
  <si>
    <t>N</t>
  </si>
  <si>
    <t>Número de varillas</t>
  </si>
  <si>
    <t>m</t>
  </si>
  <si>
    <t>Masa de las varillas</t>
  </si>
  <si>
    <t>R</t>
  </si>
  <si>
    <t>Radio del cilindro</t>
  </si>
  <si>
    <t>Resultado</t>
  </si>
  <si>
    <t>a</t>
  </si>
  <si>
    <r>
      <t>m/s</t>
    </r>
    <r>
      <rPr>
        <vertAlign val="superscript"/>
        <sz val="11"/>
        <color theme="1"/>
        <rFont val="Aptos Narrow"/>
        <family val="2"/>
        <scheme val="minor"/>
      </rPr>
      <t>2</t>
    </r>
  </si>
  <si>
    <t>ax</t>
  </si>
  <si>
    <t>ay</t>
  </si>
  <si>
    <t>Descripción</t>
  </si>
  <si>
    <t>Práctica Dinámica Rotacional</t>
  </si>
  <si>
    <t>rx</t>
  </si>
  <si>
    <t>Radio de ubicación de las varillas</t>
  </si>
  <si>
    <t>ra</t>
  </si>
  <si>
    <t>rb</t>
  </si>
  <si>
    <t>Aceleración teórica</t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</si>
  <si>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1</t>
    </r>
  </si>
  <si>
    <t>Modelo teórico de la aceleración</t>
  </si>
  <si>
    <t>Aceleración en x</t>
  </si>
  <si>
    <t>Aceleración en y</t>
  </si>
  <si>
    <t>Aceleración experimental</t>
  </si>
  <si>
    <t>Valores fijos</t>
  </si>
  <si>
    <t>Valores a ingresar</t>
  </si>
  <si>
    <t>ax/2</t>
  </si>
  <si>
    <t>ay/2</t>
  </si>
  <si>
    <t>en m</t>
  </si>
  <si>
    <t>GRUPO</t>
  </si>
  <si>
    <t>%error</t>
  </si>
  <si>
    <t>Predicción para FizziQ</t>
  </si>
  <si>
    <t>En esta tabla, cada grupo de trabajo deberá dictar el término que acompaña a t cuadrado obtenido de FizziQ de las gráficas posición vs. tiempo, en x y en y.</t>
  </si>
  <si>
    <t>OBJETIVO: Determinar la aceleración del cilindro que rota sin deslizar en una pista con fricción, alterando el momento de inercia al mover masas entre diferentes valores de radio.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</si>
</sst>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8" formatCode="0.0000"/>
  </numFmts>
  <fonts count="1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82">
    <xf numFmtId="0" fontId="0" fillId="0" borderId="0" xfId="0"/>
    <xf numFmtId="0" fontId="0" fillId="4" borderId="0" xfId="0" applyFill="1"/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0" fillId="4" borderId="13" xfId="0" applyFill="1" applyBorder="1"/>
    <xf numFmtId="0" fontId="4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4" borderId="15" xfId="0" applyFill="1" applyBorder="1"/>
    <xf numFmtId="0" fontId="1" fillId="2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4" borderId="18" xfId="0" applyFill="1" applyBorder="1"/>
    <xf numFmtId="0" fontId="0" fillId="4" borderId="19" xfId="0" applyFill="1" applyBorder="1"/>
    <xf numFmtId="164" fontId="0" fillId="4" borderId="0" xfId="0" applyNumberFormat="1" applyFill="1"/>
    <xf numFmtId="0" fontId="9" fillId="4" borderId="13" xfId="0" applyFont="1" applyFill="1" applyBorder="1" applyAlignment="1">
      <alignment horizontal="center"/>
    </xf>
    <xf numFmtId="0" fontId="1" fillId="1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164" fontId="0" fillId="4" borderId="0" xfId="0" applyNumberFormat="1" applyFill="1" applyBorder="1"/>
    <xf numFmtId="0" fontId="0" fillId="4" borderId="0" xfId="0" applyFill="1" applyBorder="1"/>
    <xf numFmtId="168" fontId="0" fillId="7" borderId="7" xfId="0" applyNumberFormat="1" applyFont="1" applyFill="1" applyBorder="1" applyAlignment="1">
      <alignment horizontal="center" vertical="center"/>
    </xf>
    <xf numFmtId="168" fontId="0" fillId="3" borderId="7" xfId="0" applyNumberForma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7" fillId="13" borderId="0" xfId="0" applyFont="1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7" fillId="7" borderId="0" xfId="0" applyFont="1" applyFill="1" applyBorder="1" applyAlignment="1">
      <alignment vertical="center"/>
    </xf>
    <xf numFmtId="0" fontId="1" fillId="12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4" fontId="0" fillId="3" borderId="0" xfId="0" applyNumberForma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168" fontId="0" fillId="4" borderId="0" xfId="0" applyNumberFormat="1" applyFill="1" applyBorder="1"/>
    <xf numFmtId="0" fontId="9" fillId="4" borderId="0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2" fillId="15" borderId="8" xfId="0" applyFont="1" applyFill="1" applyBorder="1" applyAlignment="1">
      <alignment horizontal="center" vertical="center"/>
    </xf>
    <xf numFmtId="0" fontId="1" fillId="4" borderId="13" xfId="0" applyFont="1" applyFill="1" applyBorder="1" applyAlignment="1"/>
    <xf numFmtId="0" fontId="11" fillId="4" borderId="8" xfId="0" applyFont="1" applyFill="1" applyBorder="1"/>
    <xf numFmtId="164" fontId="12" fillId="0" borderId="8" xfId="0" applyNumberFormat="1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 wrapText="1"/>
    </xf>
    <xf numFmtId="0" fontId="2" fillId="15" borderId="20" xfId="0" applyFont="1" applyFill="1" applyBorder="1" applyAlignment="1">
      <alignment horizontal="center" vertical="center"/>
    </xf>
    <xf numFmtId="0" fontId="11" fillId="4" borderId="20" xfId="0" applyFont="1" applyFill="1" applyBorder="1"/>
    <xf numFmtId="164" fontId="12" fillId="0" borderId="20" xfId="0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10" fontId="12" fillId="0" borderId="8" xfId="1" applyNumberFormat="1" applyFont="1" applyFill="1" applyBorder="1" applyAlignment="1"/>
    <xf numFmtId="0" fontId="11" fillId="0" borderId="8" xfId="0" applyFont="1" applyFill="1" applyBorder="1" applyAlignment="1"/>
    <xf numFmtId="164" fontId="8" fillId="4" borderId="0" xfId="0" applyNumberFormat="1" applyFont="1" applyFill="1" applyAlignment="1"/>
    <xf numFmtId="0" fontId="1" fillId="6" borderId="15" xfId="0" applyFont="1" applyFill="1" applyBorder="1" applyAlignment="1">
      <alignment horizontal="left" vertical="center" wrapText="1"/>
    </xf>
    <xf numFmtId="0" fontId="1" fillId="6" borderId="0" xfId="0" applyFont="1" applyFill="1" applyBorder="1" applyAlignment="1">
      <alignment horizontal="left" vertical="center" wrapText="1"/>
    </xf>
    <xf numFmtId="0" fontId="1" fillId="6" borderId="13" xfId="0" applyFont="1" applyFill="1" applyBorder="1" applyAlignment="1">
      <alignment horizontal="left" vertical="center" wrapText="1"/>
    </xf>
    <xf numFmtId="0" fontId="14" fillId="6" borderId="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14" fillId="6" borderId="1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287055</xdr:colOff>
      <xdr:row>17</xdr:row>
      <xdr:rowOff>155401</xdr:rowOff>
    </xdr:from>
    <xdr:ext cx="2470676" cy="64184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2">
              <a:extLst>
                <a:ext uri="{FF2B5EF4-FFF2-40B4-BE49-F238E27FC236}">
                  <a16:creationId xmlns:a16="http://schemas.microsoft.com/office/drawing/2014/main" id="{71CD0150-A4DF-4945-A5A7-AD3D6E45778F}"/>
                </a:ext>
              </a:extLst>
            </xdr:cNvPr>
            <xdr:cNvSpPr txBox="1"/>
          </xdr:nvSpPr>
          <xdr:spPr>
            <a:xfrm>
              <a:off x="1386512" y="3736801"/>
              <a:ext cx="2470676" cy="6418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𝑔</m:t>
                        </m:r>
                        <m:d>
                          <m:d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𝑁𝑚</m:t>
                                </m:r>
                              </m:e>
                            </m:d>
                            <m:func>
                              <m:func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4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</m:func>
                          </m:e>
                        </m:d>
                      </m:num>
                      <m:den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𝑁𝑚</m:t>
                        </m:r>
                        <m:d>
                          <m:d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p>
                              <m:sSup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  <m:t>𝑟</m:t>
                                        </m:r>
                                      </m:num>
                                      <m:den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  <m:t>𝑅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EC" sz="1200"/>
            </a:p>
          </xdr:txBody>
        </xdr:sp>
      </mc:Choice>
      <mc:Fallback>
        <xdr:sp macro="" textlink="">
          <xdr:nvSpPr>
            <xdr:cNvPr id="2" name="TextBox 2">
              <a:extLst>
                <a:ext uri="{FF2B5EF4-FFF2-40B4-BE49-F238E27FC236}">
                  <a16:creationId xmlns:a16="http://schemas.microsoft.com/office/drawing/2014/main" id="{71CD0150-A4DF-4945-A5A7-AD3D6E45778F}"/>
                </a:ext>
              </a:extLst>
            </xdr:cNvPr>
            <xdr:cNvSpPr txBox="1"/>
          </xdr:nvSpPr>
          <xdr:spPr>
            <a:xfrm>
              <a:off x="1386512" y="3736801"/>
              <a:ext cx="2470676" cy="6418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𝑎=𝑔(𝑚_1−(𝑀+𝑁𝑚)  sin⁡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)/(</a:t>
              </a:r>
              <a:r>
                <a:rPr lang="en-US" sz="1400" b="0" i="0">
                  <a:latin typeface="Cambria Math" panose="02040503050406030204" pitchFamily="18" charset="0"/>
                </a:rPr>
                <a:t>3𝑀/2+𝑁𝑚(1+(𝑟/𝑅)^2 )+𝑚_1 )</a:t>
              </a:r>
              <a:endParaRPr lang="es-EC" sz="1200"/>
            </a:p>
          </xdr:txBody>
        </xdr:sp>
      </mc:Fallback>
    </mc:AlternateContent>
    <xdr:clientData/>
  </xdr:oneCellAnchor>
  <xdr:twoCellAnchor editAs="oneCell">
    <xdr:from>
      <xdr:col>6</xdr:col>
      <xdr:colOff>41595</xdr:colOff>
      <xdr:row>5</xdr:row>
      <xdr:rowOff>47500</xdr:rowOff>
    </xdr:from>
    <xdr:to>
      <xdr:col>7</xdr:col>
      <xdr:colOff>990599</xdr:colOff>
      <xdr:row>13</xdr:row>
      <xdr:rowOff>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B085467-3A73-44E6-8C05-E4ED8CE30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7624" y="1375557"/>
          <a:ext cx="1852518" cy="1454729"/>
        </a:xfrm>
        <a:prstGeom prst="rect">
          <a:avLst/>
        </a:prstGeom>
      </xdr:spPr>
    </xdr:pic>
    <xdr:clientData/>
  </xdr:twoCellAnchor>
  <xdr:oneCellAnchor>
    <xdr:from>
      <xdr:col>8</xdr:col>
      <xdr:colOff>38100</xdr:colOff>
      <xdr:row>12</xdr:row>
      <xdr:rowOff>133350</xdr:rowOff>
    </xdr:from>
    <xdr:ext cx="65" cy="172227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251FA2F-B127-4C29-A81D-F610E16AD781}"/>
            </a:ext>
          </a:extLst>
        </xdr:cNvPr>
        <xdr:cNvSpPr txBox="1"/>
      </xdr:nvSpPr>
      <xdr:spPr>
        <a:xfrm>
          <a:off x="6644640" y="22136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twoCellAnchor editAs="oneCell">
    <xdr:from>
      <xdr:col>5</xdr:col>
      <xdr:colOff>102301</xdr:colOff>
      <xdr:row>15</xdr:row>
      <xdr:rowOff>38247</xdr:rowOff>
    </xdr:from>
    <xdr:to>
      <xdr:col>7</xdr:col>
      <xdr:colOff>1067365</xdr:colOff>
      <xdr:row>24</xdr:row>
      <xdr:rowOff>114844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88ACC4B-2D43-4BBF-8E39-10B60F80B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1501" y="3216876"/>
          <a:ext cx="2075406" cy="1818311"/>
        </a:xfrm>
        <a:prstGeom prst="rect">
          <a:avLst/>
        </a:prstGeom>
      </xdr:spPr>
    </xdr:pic>
    <xdr:clientData/>
  </xdr:twoCellAnchor>
  <xdr:oneCellAnchor>
    <xdr:from>
      <xdr:col>8</xdr:col>
      <xdr:colOff>349512</xdr:colOff>
      <xdr:row>16</xdr:row>
      <xdr:rowOff>137326</xdr:rowOff>
    </xdr:from>
    <xdr:ext cx="2698488" cy="4610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1849B02-5EDC-4821-8E99-2284DFDED690}"/>
                </a:ext>
              </a:extLst>
            </xdr:cNvPr>
            <xdr:cNvSpPr txBox="1"/>
          </xdr:nvSpPr>
          <xdr:spPr>
            <a:xfrm>
              <a:off x="7675598" y="3533669"/>
              <a:ext cx="2698488" cy="461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600" b="0" i="1">
                        <a:latin typeface="Cambria Math" panose="02040503050406030204" pitchFamily="18" charset="0"/>
                      </a:rPr>
                      <m:t>𝑥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f>
                          <m:fPr>
                            <m:ctrlPr>
                              <a:rPr lang="es-E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ES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𝑜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es-ES" sz="16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s-ES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ES" sz="16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1849B02-5EDC-4821-8E99-2284DFDED690}"/>
                </a:ext>
              </a:extLst>
            </xdr:cNvPr>
            <xdr:cNvSpPr txBox="1"/>
          </xdr:nvSpPr>
          <xdr:spPr>
            <a:xfrm>
              <a:off x="7675598" y="3533669"/>
              <a:ext cx="2698488" cy="461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600" b="0" i="0">
                  <a:latin typeface="Cambria Math" panose="02040503050406030204" pitchFamily="18" charset="0"/>
                </a:rPr>
                <a:t>𝑥</a:t>
              </a:r>
              <a:r>
                <a:rPr lang="en-US" sz="1600" b="0" i="0">
                  <a:latin typeface="Cambria Math" panose="02040503050406030204" pitchFamily="18" charset="0"/>
                </a:rPr>
                <a:t>(𝑡)=</a:t>
              </a:r>
              <a:r>
                <a:rPr lang="es-ES" sz="1600" b="0" i="0">
                  <a:latin typeface="Cambria Math" panose="02040503050406030204" pitchFamily="18" charset="0"/>
                </a:rPr>
                <a:t>〖1/2 𝑎〗_</a:t>
              </a:r>
              <a:r>
                <a:rPr lang="en-US" sz="1600" b="0" i="0">
                  <a:latin typeface="Cambria Math" panose="02040503050406030204" pitchFamily="18" charset="0"/>
                </a:rPr>
                <a:t>𝑥 </a:t>
              </a:r>
              <a:r>
                <a:rPr lang="es-ES" sz="1600" b="0" i="0">
                  <a:latin typeface="Cambria Math" panose="02040503050406030204" pitchFamily="18" charset="0"/>
                </a:rPr>
                <a:t>𝑡</a:t>
              </a:r>
              <a:r>
                <a:rPr lang="en-US" sz="1600" b="0" i="0">
                  <a:latin typeface="Cambria Math" panose="02040503050406030204" pitchFamily="18" charset="0"/>
                </a:rPr>
                <a:t>^</a:t>
              </a:r>
              <a:r>
                <a:rPr lang="es-ES" sz="1600" b="0" i="0">
                  <a:latin typeface="Cambria Math" panose="02040503050406030204" pitchFamily="18" charset="0"/>
                </a:rPr>
                <a:t>2+𝑣_𝑜</a:t>
              </a:r>
              <a:r>
                <a:rPr lang="en-US" sz="1600" b="0" i="0">
                  <a:latin typeface="Cambria Math" panose="02040503050406030204" pitchFamily="18" charset="0"/>
                </a:rPr>
                <a:t>𝑥</a:t>
              </a:r>
              <a:r>
                <a:rPr lang="es-ES" sz="1600" b="0" i="0">
                  <a:latin typeface="Cambria Math" panose="02040503050406030204" pitchFamily="18" charset="0"/>
                </a:rPr>
                <a:t> 𝑡+𝑥_0</a:t>
              </a:r>
              <a:endParaRPr lang="es-ES" sz="1600"/>
            </a:p>
          </xdr:txBody>
        </xdr:sp>
      </mc:Fallback>
    </mc:AlternateContent>
    <xdr:clientData/>
  </xdr:oneCellAnchor>
  <xdr:oneCellAnchor>
    <xdr:from>
      <xdr:col>8</xdr:col>
      <xdr:colOff>540429</xdr:colOff>
      <xdr:row>20</xdr:row>
      <xdr:rowOff>44381</xdr:rowOff>
    </xdr:from>
    <xdr:ext cx="2333398" cy="4610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FA1A58F1-8C01-40E3-862A-E147E24ACA55}"/>
                </a:ext>
              </a:extLst>
            </xdr:cNvPr>
            <xdr:cNvSpPr txBox="1"/>
          </xdr:nvSpPr>
          <xdr:spPr>
            <a:xfrm>
              <a:off x="7866515" y="4202724"/>
              <a:ext cx="2333398" cy="461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ES" sz="1600" b="0" i="0">
                        <a:latin typeface="Cambria Math" panose="02040503050406030204" pitchFamily="18" charset="0"/>
                      </a:rPr>
                      <m:t>y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f>
                          <m:fPr>
                            <m:ctrlPr>
                              <a:rPr lang="es-E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ES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𝑜𝑦</m:t>
                        </m:r>
                      </m:sub>
                    </m:sSub>
                    <m:r>
                      <a:rPr lang="es-ES" sz="16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s-ES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ES" sz="1600"/>
            </a:p>
          </xdr:txBody>
        </xdr:sp>
      </mc:Choice>
      <mc:Fallback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FA1A58F1-8C01-40E3-862A-E147E24ACA55}"/>
                </a:ext>
              </a:extLst>
            </xdr:cNvPr>
            <xdr:cNvSpPr txBox="1"/>
          </xdr:nvSpPr>
          <xdr:spPr>
            <a:xfrm>
              <a:off x="7866515" y="4202724"/>
              <a:ext cx="2333398" cy="461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600" b="0" i="0">
                  <a:latin typeface="Cambria Math" panose="02040503050406030204" pitchFamily="18" charset="0"/>
                </a:rPr>
                <a:t>y</a:t>
              </a:r>
              <a:r>
                <a:rPr lang="en-US" sz="1600" b="0" i="0">
                  <a:latin typeface="Cambria Math" panose="02040503050406030204" pitchFamily="18" charset="0"/>
                </a:rPr>
                <a:t>(𝑡)=</a:t>
              </a:r>
              <a:r>
                <a:rPr lang="es-ES" sz="1600" b="0" i="0">
                  <a:latin typeface="Cambria Math" panose="02040503050406030204" pitchFamily="18" charset="0"/>
                </a:rPr>
                <a:t>〖1/2 𝑎〗_𝑦</a:t>
              </a:r>
              <a:r>
                <a:rPr lang="en-US" sz="1600" b="0" i="0">
                  <a:latin typeface="Cambria Math" panose="02040503050406030204" pitchFamily="18" charset="0"/>
                </a:rPr>
                <a:t> </a:t>
              </a:r>
              <a:r>
                <a:rPr lang="es-ES" sz="1600" b="0" i="0">
                  <a:latin typeface="Cambria Math" panose="02040503050406030204" pitchFamily="18" charset="0"/>
                </a:rPr>
                <a:t>𝑡</a:t>
              </a:r>
              <a:r>
                <a:rPr lang="en-US" sz="1600" b="0" i="0">
                  <a:latin typeface="Cambria Math" panose="02040503050406030204" pitchFamily="18" charset="0"/>
                </a:rPr>
                <a:t>^</a:t>
              </a:r>
              <a:r>
                <a:rPr lang="es-ES" sz="1600" b="0" i="0">
                  <a:latin typeface="Cambria Math" panose="02040503050406030204" pitchFamily="18" charset="0"/>
                </a:rPr>
                <a:t>2+𝑣_𝑜𝑦 𝑡+𝑦_0</a:t>
              </a:r>
              <a:endParaRPr lang="es-ES" sz="16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287055</xdr:colOff>
      <xdr:row>17</xdr:row>
      <xdr:rowOff>155401</xdr:rowOff>
    </xdr:from>
    <xdr:ext cx="2470676" cy="64184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2">
              <a:extLst>
                <a:ext uri="{FF2B5EF4-FFF2-40B4-BE49-F238E27FC236}">
                  <a16:creationId xmlns:a16="http://schemas.microsoft.com/office/drawing/2014/main" id="{85B330A3-2B02-41A4-BD5D-6DC1CC9CAF49}"/>
                </a:ext>
              </a:extLst>
            </xdr:cNvPr>
            <xdr:cNvSpPr txBox="1"/>
          </xdr:nvSpPr>
          <xdr:spPr>
            <a:xfrm>
              <a:off x="1384335" y="3706321"/>
              <a:ext cx="2470676" cy="6418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𝑔</m:t>
                        </m:r>
                        <m:d>
                          <m:d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d>
                              <m:d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𝑁𝑚</m:t>
                                </m:r>
                              </m:e>
                            </m:d>
                            <m:func>
                              <m:func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4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</m:func>
                          </m:e>
                        </m:d>
                      </m:num>
                      <m:den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𝑁𝑚</m:t>
                        </m:r>
                        <m:d>
                          <m:d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p>
                              <m:sSup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  <m:t>𝑟</m:t>
                                        </m:r>
                                      </m:num>
                                      <m:den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</a:rPr>
                                          <m:t>𝑅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EC" sz="1200"/>
            </a:p>
          </xdr:txBody>
        </xdr:sp>
      </mc:Choice>
      <mc:Fallback>
        <xdr:sp macro="" textlink="">
          <xdr:nvSpPr>
            <xdr:cNvPr id="2" name="TextBox 2">
              <a:extLst>
                <a:ext uri="{FF2B5EF4-FFF2-40B4-BE49-F238E27FC236}">
                  <a16:creationId xmlns:a16="http://schemas.microsoft.com/office/drawing/2014/main" id="{85B330A3-2B02-41A4-BD5D-6DC1CC9CAF49}"/>
                </a:ext>
              </a:extLst>
            </xdr:cNvPr>
            <xdr:cNvSpPr txBox="1"/>
          </xdr:nvSpPr>
          <xdr:spPr>
            <a:xfrm>
              <a:off x="1384335" y="3706321"/>
              <a:ext cx="2470676" cy="6418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𝑎=𝑔(𝑚_1−(𝑀+𝑁𝑚)  sin⁡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)/(</a:t>
              </a:r>
              <a:r>
                <a:rPr lang="en-US" sz="1400" b="0" i="0">
                  <a:latin typeface="Cambria Math" panose="02040503050406030204" pitchFamily="18" charset="0"/>
                </a:rPr>
                <a:t>3𝑀/2+𝑁𝑚(1+(𝑟/𝑅)^2 )+𝑚_1 )</a:t>
              </a:r>
              <a:endParaRPr lang="es-EC" sz="1200"/>
            </a:p>
          </xdr:txBody>
        </xdr:sp>
      </mc:Fallback>
    </mc:AlternateContent>
    <xdr:clientData/>
  </xdr:oneCellAnchor>
  <xdr:twoCellAnchor editAs="oneCell">
    <xdr:from>
      <xdr:col>6</xdr:col>
      <xdr:colOff>41595</xdr:colOff>
      <xdr:row>5</xdr:row>
      <xdr:rowOff>47500</xdr:rowOff>
    </xdr:from>
    <xdr:to>
      <xdr:col>7</xdr:col>
      <xdr:colOff>990599</xdr:colOff>
      <xdr:row>13</xdr:row>
      <xdr:rowOff>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7E1281F-EB1E-46B0-9287-DB58120F1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2255" y="1358140"/>
          <a:ext cx="1855784" cy="1430781"/>
        </a:xfrm>
        <a:prstGeom prst="rect">
          <a:avLst/>
        </a:prstGeom>
      </xdr:spPr>
    </xdr:pic>
    <xdr:clientData/>
  </xdr:twoCellAnchor>
  <xdr:oneCellAnchor>
    <xdr:from>
      <xdr:col>8</xdr:col>
      <xdr:colOff>38100</xdr:colOff>
      <xdr:row>12</xdr:row>
      <xdr:rowOff>133350</xdr:rowOff>
    </xdr:from>
    <xdr:ext cx="65" cy="172227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4188C45-5681-485D-9B1A-33652FBF5839}"/>
            </a:ext>
          </a:extLst>
        </xdr:cNvPr>
        <xdr:cNvSpPr txBox="1"/>
      </xdr:nvSpPr>
      <xdr:spPr>
        <a:xfrm>
          <a:off x="7406640" y="27317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twoCellAnchor editAs="oneCell">
    <xdr:from>
      <xdr:col>5</xdr:col>
      <xdr:colOff>102301</xdr:colOff>
      <xdr:row>15</xdr:row>
      <xdr:rowOff>38247</xdr:rowOff>
    </xdr:from>
    <xdr:to>
      <xdr:col>7</xdr:col>
      <xdr:colOff>1067365</xdr:colOff>
      <xdr:row>24</xdr:row>
      <xdr:rowOff>114844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BC987FE-3712-40B4-81FF-6B073BA9B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77221" y="3192927"/>
          <a:ext cx="2077584" cy="1798717"/>
        </a:xfrm>
        <a:prstGeom prst="rect">
          <a:avLst/>
        </a:prstGeom>
      </xdr:spPr>
    </xdr:pic>
    <xdr:clientData/>
  </xdr:twoCellAnchor>
  <xdr:oneCellAnchor>
    <xdr:from>
      <xdr:col>8</xdr:col>
      <xdr:colOff>349512</xdr:colOff>
      <xdr:row>16</xdr:row>
      <xdr:rowOff>137326</xdr:rowOff>
    </xdr:from>
    <xdr:ext cx="2698488" cy="4610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371BBFC-2326-430A-B3DC-57D065BE763E}"/>
                </a:ext>
              </a:extLst>
            </xdr:cNvPr>
            <xdr:cNvSpPr txBox="1"/>
          </xdr:nvSpPr>
          <xdr:spPr>
            <a:xfrm>
              <a:off x="7718052" y="3482506"/>
              <a:ext cx="2698488" cy="461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600" b="0" i="1">
                        <a:latin typeface="Cambria Math" panose="02040503050406030204" pitchFamily="18" charset="0"/>
                      </a:rPr>
                      <m:t>𝑥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f>
                          <m:fPr>
                            <m:ctrlPr>
                              <a:rPr lang="es-E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ES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𝑜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es-ES" sz="16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s-ES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ES" sz="16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371BBFC-2326-430A-B3DC-57D065BE763E}"/>
                </a:ext>
              </a:extLst>
            </xdr:cNvPr>
            <xdr:cNvSpPr txBox="1"/>
          </xdr:nvSpPr>
          <xdr:spPr>
            <a:xfrm>
              <a:off x="7718052" y="3482506"/>
              <a:ext cx="2698488" cy="461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600" b="0" i="0">
                  <a:latin typeface="Cambria Math" panose="02040503050406030204" pitchFamily="18" charset="0"/>
                </a:rPr>
                <a:t>𝑥</a:t>
              </a:r>
              <a:r>
                <a:rPr lang="en-US" sz="1600" b="0" i="0">
                  <a:latin typeface="Cambria Math" panose="02040503050406030204" pitchFamily="18" charset="0"/>
                </a:rPr>
                <a:t>(𝑡)=</a:t>
              </a:r>
              <a:r>
                <a:rPr lang="es-ES" sz="1600" b="0" i="0">
                  <a:latin typeface="Cambria Math" panose="02040503050406030204" pitchFamily="18" charset="0"/>
                </a:rPr>
                <a:t>〖1/2 𝑎〗_</a:t>
              </a:r>
              <a:r>
                <a:rPr lang="en-US" sz="1600" b="0" i="0">
                  <a:latin typeface="Cambria Math" panose="02040503050406030204" pitchFamily="18" charset="0"/>
                </a:rPr>
                <a:t>𝑥 </a:t>
              </a:r>
              <a:r>
                <a:rPr lang="es-ES" sz="1600" b="0" i="0">
                  <a:latin typeface="Cambria Math" panose="02040503050406030204" pitchFamily="18" charset="0"/>
                </a:rPr>
                <a:t>𝑡</a:t>
              </a:r>
              <a:r>
                <a:rPr lang="en-US" sz="1600" b="0" i="0">
                  <a:latin typeface="Cambria Math" panose="02040503050406030204" pitchFamily="18" charset="0"/>
                </a:rPr>
                <a:t>^</a:t>
              </a:r>
              <a:r>
                <a:rPr lang="es-ES" sz="1600" b="0" i="0">
                  <a:latin typeface="Cambria Math" panose="02040503050406030204" pitchFamily="18" charset="0"/>
                </a:rPr>
                <a:t>2+𝑣_𝑜</a:t>
              </a:r>
              <a:r>
                <a:rPr lang="en-US" sz="1600" b="0" i="0">
                  <a:latin typeface="Cambria Math" panose="02040503050406030204" pitchFamily="18" charset="0"/>
                </a:rPr>
                <a:t>𝑥</a:t>
              </a:r>
              <a:r>
                <a:rPr lang="es-ES" sz="1600" b="0" i="0">
                  <a:latin typeface="Cambria Math" panose="02040503050406030204" pitchFamily="18" charset="0"/>
                </a:rPr>
                <a:t> 𝑡+𝑥_0</a:t>
              </a:r>
              <a:endParaRPr lang="es-ES" sz="1600"/>
            </a:p>
          </xdr:txBody>
        </xdr:sp>
      </mc:Fallback>
    </mc:AlternateContent>
    <xdr:clientData/>
  </xdr:oneCellAnchor>
  <xdr:oneCellAnchor>
    <xdr:from>
      <xdr:col>8</xdr:col>
      <xdr:colOff>540429</xdr:colOff>
      <xdr:row>20</xdr:row>
      <xdr:rowOff>44381</xdr:rowOff>
    </xdr:from>
    <xdr:ext cx="2333398" cy="4610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2494026D-C619-46DE-9B68-588351F06554}"/>
                </a:ext>
              </a:extLst>
            </xdr:cNvPr>
            <xdr:cNvSpPr txBox="1"/>
          </xdr:nvSpPr>
          <xdr:spPr>
            <a:xfrm>
              <a:off x="7908969" y="4143941"/>
              <a:ext cx="2333398" cy="461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ES" sz="1600" b="0" i="0">
                        <a:latin typeface="Cambria Math" panose="02040503050406030204" pitchFamily="18" charset="0"/>
                      </a:rPr>
                      <m:t>y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f>
                          <m:fPr>
                            <m:ctrlPr>
                              <a:rPr lang="es-E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s-E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ES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𝑜𝑦</m:t>
                        </m:r>
                      </m:sub>
                    </m:sSub>
                    <m:r>
                      <a:rPr lang="es-ES" sz="16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s-ES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ES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ES" sz="16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2494026D-C619-46DE-9B68-588351F06554}"/>
                </a:ext>
              </a:extLst>
            </xdr:cNvPr>
            <xdr:cNvSpPr txBox="1"/>
          </xdr:nvSpPr>
          <xdr:spPr>
            <a:xfrm>
              <a:off x="7908969" y="4143941"/>
              <a:ext cx="2333398" cy="461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600" b="0" i="0">
                  <a:latin typeface="Cambria Math" panose="02040503050406030204" pitchFamily="18" charset="0"/>
                </a:rPr>
                <a:t>y</a:t>
              </a:r>
              <a:r>
                <a:rPr lang="en-US" sz="1600" b="0" i="0">
                  <a:latin typeface="Cambria Math" panose="02040503050406030204" pitchFamily="18" charset="0"/>
                </a:rPr>
                <a:t>(𝑡)=</a:t>
              </a:r>
              <a:r>
                <a:rPr lang="es-ES" sz="1600" b="0" i="0">
                  <a:latin typeface="Cambria Math" panose="02040503050406030204" pitchFamily="18" charset="0"/>
                </a:rPr>
                <a:t>〖1/2 𝑎〗_𝑦</a:t>
              </a:r>
              <a:r>
                <a:rPr lang="en-US" sz="1600" b="0" i="0">
                  <a:latin typeface="Cambria Math" panose="02040503050406030204" pitchFamily="18" charset="0"/>
                </a:rPr>
                <a:t> </a:t>
              </a:r>
              <a:r>
                <a:rPr lang="es-ES" sz="1600" b="0" i="0">
                  <a:latin typeface="Cambria Math" panose="02040503050406030204" pitchFamily="18" charset="0"/>
                </a:rPr>
                <a:t>𝑡</a:t>
              </a:r>
              <a:r>
                <a:rPr lang="en-US" sz="1600" b="0" i="0">
                  <a:latin typeface="Cambria Math" panose="02040503050406030204" pitchFamily="18" charset="0"/>
                </a:rPr>
                <a:t>^</a:t>
              </a:r>
              <a:r>
                <a:rPr lang="es-ES" sz="1600" b="0" i="0">
                  <a:latin typeface="Cambria Math" panose="02040503050406030204" pitchFamily="18" charset="0"/>
                </a:rPr>
                <a:t>2+𝑣_𝑜𝑦 𝑡+𝑦_0</a:t>
              </a:r>
              <a:endParaRPr lang="es-ES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C3EB-BE11-4773-BD04-D91106FF0FB9}">
  <dimension ref="B1:U42"/>
  <sheetViews>
    <sheetView zoomScale="70" zoomScaleNormal="70" workbookViewId="0">
      <selection activeCell="R25" sqref="R25"/>
    </sheetView>
  </sheetViews>
  <sheetFormatPr baseColWidth="10" defaultColWidth="8.88671875" defaultRowHeight="14.4" x14ac:dyDescent="0.3"/>
  <cols>
    <col min="1" max="1" width="2.33203125" style="1" customWidth="1"/>
    <col min="2" max="2" width="13.6640625" style="1" customWidth="1"/>
    <col min="3" max="3" width="32" style="1" customWidth="1"/>
    <col min="4" max="4" width="11.77734375" style="1" customWidth="1"/>
    <col min="5" max="5" width="14.21875" style="1" customWidth="1"/>
    <col min="6" max="6" width="3" style="1" customWidth="1"/>
    <col min="7" max="7" width="13.21875" style="1" customWidth="1"/>
    <col min="8" max="8" width="17.21875" style="1" customWidth="1"/>
    <col min="9" max="9" width="13.21875" style="1" customWidth="1"/>
    <col min="10" max="13" width="8.88671875" style="1"/>
    <col min="14" max="14" width="1.88671875" style="1" customWidth="1"/>
    <col min="15" max="16384" width="8.88671875" style="1"/>
  </cols>
  <sheetData>
    <row r="1" spans="2:21" ht="27.6" customHeight="1" x14ac:dyDescent="0.4">
      <c r="B1" s="79" t="s">
        <v>22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1"/>
    </row>
    <row r="2" spans="2:21" ht="31.2" customHeight="1" x14ac:dyDescent="0.3">
      <c r="B2" s="76" t="s">
        <v>42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2:21" x14ac:dyDescent="0.3">
      <c r="B3" s="17" t="s">
        <v>0</v>
      </c>
      <c r="C3" s="2" t="s">
        <v>21</v>
      </c>
      <c r="D3" s="2" t="s">
        <v>3</v>
      </c>
      <c r="E3" s="3" t="s">
        <v>4</v>
      </c>
      <c r="F3" s="43"/>
      <c r="G3" s="43"/>
      <c r="H3" s="43"/>
      <c r="I3" s="56" t="s">
        <v>38</v>
      </c>
      <c r="J3" s="56" t="s">
        <v>35</v>
      </c>
      <c r="K3" s="56" t="s">
        <v>36</v>
      </c>
      <c r="L3" s="56" t="s">
        <v>17</v>
      </c>
      <c r="M3" s="56" t="s">
        <v>39</v>
      </c>
      <c r="N3" s="18"/>
    </row>
    <row r="4" spans="2:21" x14ac:dyDescent="0.3">
      <c r="B4" s="19" t="s">
        <v>7</v>
      </c>
      <c r="C4" s="4" t="s">
        <v>1</v>
      </c>
      <c r="D4" s="8">
        <v>19</v>
      </c>
      <c r="E4" s="5" t="s">
        <v>6</v>
      </c>
      <c r="F4" s="43"/>
      <c r="G4" s="43"/>
      <c r="H4" s="43"/>
      <c r="I4" s="57">
        <v>1</v>
      </c>
      <c r="J4" s="59"/>
      <c r="K4" s="74"/>
      <c r="L4" s="60">
        <f>SQRT(POWER(2*J4,2)+POWER(K4*2,2))</f>
        <v>0</v>
      </c>
      <c r="M4" s="73">
        <f>ABS(ABS($D$17)-ABS(L4))/ABS($D$17)</f>
        <v>1</v>
      </c>
      <c r="N4" s="58"/>
    </row>
    <row r="5" spans="2:21" ht="15.6" x14ac:dyDescent="0.3">
      <c r="B5" s="20" t="s">
        <v>28</v>
      </c>
      <c r="C5" s="4" t="s">
        <v>2</v>
      </c>
      <c r="D5" s="9">
        <v>0.11192000000000001</v>
      </c>
      <c r="E5" s="5" t="s">
        <v>5</v>
      </c>
      <c r="F5" s="43"/>
      <c r="G5" s="43"/>
      <c r="H5" s="43"/>
      <c r="I5" s="57">
        <v>2</v>
      </c>
      <c r="J5" s="59"/>
      <c r="K5" s="59"/>
      <c r="L5" s="60">
        <f t="shared" ref="L5:L13" si="0">SQRT(POWER(2*J5,2)+POWER(K5*2,2))</f>
        <v>0</v>
      </c>
      <c r="M5" s="73">
        <f t="shared" ref="M5:M13" si="1">ABS(ABS($D$17)-ABS(L5))/ABS($D$17)</f>
        <v>1</v>
      </c>
      <c r="N5" s="18"/>
    </row>
    <row r="6" spans="2:21" x14ac:dyDescent="0.3">
      <c r="B6" s="20" t="s">
        <v>8</v>
      </c>
      <c r="C6" s="4" t="s">
        <v>9</v>
      </c>
      <c r="D6" s="12">
        <v>0.28036</v>
      </c>
      <c r="E6" s="5" t="s">
        <v>5</v>
      </c>
      <c r="F6" s="43"/>
      <c r="G6" s="43"/>
      <c r="H6" s="43"/>
      <c r="I6" s="57">
        <v>3</v>
      </c>
      <c r="J6" s="59"/>
      <c r="K6" s="59"/>
      <c r="L6" s="60">
        <f t="shared" si="0"/>
        <v>0</v>
      </c>
      <c r="M6" s="73">
        <f t="shared" si="1"/>
        <v>1</v>
      </c>
      <c r="N6" s="18"/>
      <c r="P6" s="75"/>
      <c r="Q6" s="75"/>
      <c r="R6" s="75"/>
      <c r="S6" s="75"/>
      <c r="T6" s="75"/>
      <c r="U6" s="75"/>
    </row>
    <row r="7" spans="2:21" x14ac:dyDescent="0.3">
      <c r="B7" s="20" t="s">
        <v>14</v>
      </c>
      <c r="C7" s="4" t="s">
        <v>15</v>
      </c>
      <c r="D7" s="12">
        <v>0.05</v>
      </c>
      <c r="E7" s="5" t="s">
        <v>12</v>
      </c>
      <c r="F7" s="43"/>
      <c r="G7" s="43"/>
      <c r="H7" s="43"/>
      <c r="I7" s="57">
        <v>4</v>
      </c>
      <c r="J7" s="59"/>
      <c r="K7" s="59"/>
      <c r="L7" s="60">
        <f t="shared" si="0"/>
        <v>0</v>
      </c>
      <c r="M7" s="73">
        <f t="shared" si="1"/>
        <v>1</v>
      </c>
      <c r="N7" s="18"/>
      <c r="P7" s="75"/>
      <c r="Q7" s="75"/>
      <c r="R7" s="75"/>
      <c r="S7" s="75"/>
      <c r="T7" s="75"/>
      <c r="U7" s="75"/>
    </row>
    <row r="8" spans="2:21" x14ac:dyDescent="0.3">
      <c r="B8" s="20" t="s">
        <v>10</v>
      </c>
      <c r="C8" s="4" t="s">
        <v>11</v>
      </c>
      <c r="D8" s="9">
        <v>4</v>
      </c>
      <c r="E8" s="5"/>
      <c r="F8" s="43"/>
      <c r="G8" s="43"/>
      <c r="H8" s="43"/>
      <c r="I8" s="57">
        <v>5</v>
      </c>
      <c r="J8" s="59"/>
      <c r="K8" s="59"/>
      <c r="L8" s="60">
        <f t="shared" si="0"/>
        <v>0</v>
      </c>
      <c r="M8" s="73">
        <f t="shared" si="1"/>
        <v>1</v>
      </c>
      <c r="N8" s="18"/>
      <c r="P8" s="75"/>
      <c r="Q8" s="75"/>
      <c r="R8" s="75"/>
      <c r="S8" s="75"/>
      <c r="T8" s="75"/>
      <c r="U8" s="75"/>
    </row>
    <row r="9" spans="2:21" x14ac:dyDescent="0.3">
      <c r="B9" s="20" t="s">
        <v>12</v>
      </c>
      <c r="C9" s="4" t="s">
        <v>13</v>
      </c>
      <c r="D9" s="12">
        <v>5.6395000000000001E-2</v>
      </c>
      <c r="E9" s="5" t="s">
        <v>5</v>
      </c>
      <c r="F9" s="43"/>
      <c r="G9" s="43"/>
      <c r="H9" s="43"/>
      <c r="I9" s="57">
        <v>6</v>
      </c>
      <c r="J9" s="59"/>
      <c r="K9" s="59"/>
      <c r="L9" s="60">
        <f t="shared" si="0"/>
        <v>0</v>
      </c>
      <c r="M9" s="73">
        <f t="shared" si="1"/>
        <v>1</v>
      </c>
      <c r="N9" s="18"/>
      <c r="P9" s="75"/>
      <c r="Q9" s="75"/>
      <c r="R9" s="75"/>
      <c r="S9" s="75"/>
      <c r="T9" s="75"/>
      <c r="U9" s="75"/>
    </row>
    <row r="10" spans="2:21" x14ac:dyDescent="0.3">
      <c r="B10" s="21" t="s">
        <v>23</v>
      </c>
      <c r="C10" s="6" t="s">
        <v>24</v>
      </c>
      <c r="D10" s="10">
        <v>1.9E-2</v>
      </c>
      <c r="E10" s="7" t="s">
        <v>12</v>
      </c>
      <c r="F10" s="43"/>
      <c r="G10" s="43"/>
      <c r="H10" s="43"/>
      <c r="I10" s="57">
        <v>7</v>
      </c>
      <c r="J10" s="59"/>
      <c r="K10" s="59"/>
      <c r="L10" s="60">
        <f t="shared" si="0"/>
        <v>0</v>
      </c>
      <c r="M10" s="73">
        <f t="shared" si="1"/>
        <v>1</v>
      </c>
      <c r="N10" s="18"/>
      <c r="P10" s="75"/>
      <c r="Q10" s="75"/>
      <c r="R10" s="75"/>
      <c r="S10" s="75"/>
      <c r="T10" s="75"/>
      <c r="U10" s="75"/>
    </row>
    <row r="11" spans="2:21" ht="15" customHeight="1" x14ac:dyDescent="0.3">
      <c r="B11" s="22"/>
      <c r="C11" s="46"/>
      <c r="D11" s="46"/>
      <c r="E11" s="46"/>
      <c r="F11" s="43"/>
      <c r="G11" s="43"/>
      <c r="H11" s="43"/>
      <c r="I11" s="57">
        <v>8</v>
      </c>
      <c r="J11" s="59"/>
      <c r="K11" s="59"/>
      <c r="L11" s="60">
        <f t="shared" si="0"/>
        <v>0</v>
      </c>
      <c r="M11" s="73">
        <f t="shared" si="1"/>
        <v>1</v>
      </c>
      <c r="N11" s="18"/>
      <c r="P11" s="75"/>
      <c r="Q11" s="75"/>
      <c r="R11" s="75"/>
      <c r="S11" s="75"/>
      <c r="T11" s="75"/>
      <c r="U11" s="75"/>
    </row>
    <row r="12" spans="2:21" x14ac:dyDescent="0.3">
      <c r="B12" s="23" t="s">
        <v>23</v>
      </c>
      <c r="C12" s="11" t="s">
        <v>37</v>
      </c>
      <c r="D12" s="46"/>
      <c r="E12" s="47" t="s">
        <v>33</v>
      </c>
      <c r="F12" s="48"/>
      <c r="G12" s="43"/>
      <c r="H12" s="43"/>
      <c r="I12" s="57">
        <v>9</v>
      </c>
      <c r="J12" s="59"/>
      <c r="K12" s="59"/>
      <c r="L12" s="60">
        <f t="shared" si="0"/>
        <v>0</v>
      </c>
      <c r="M12" s="73">
        <f t="shared" si="1"/>
        <v>1</v>
      </c>
      <c r="N12" s="18"/>
      <c r="P12" s="75"/>
      <c r="Q12" s="75"/>
      <c r="R12" s="75"/>
      <c r="S12" s="75"/>
      <c r="T12" s="75"/>
      <c r="U12" s="75"/>
    </row>
    <row r="13" spans="2:21" ht="15" thickBot="1" x14ac:dyDescent="0.35">
      <c r="B13" s="40" t="s">
        <v>25</v>
      </c>
      <c r="C13" s="12">
        <v>1.9E-2</v>
      </c>
      <c r="D13" s="46"/>
      <c r="E13" s="49" t="s">
        <v>34</v>
      </c>
      <c r="F13" s="48"/>
      <c r="G13" s="43"/>
      <c r="H13" s="43"/>
      <c r="I13" s="62">
        <v>10</v>
      </c>
      <c r="J13" s="63"/>
      <c r="K13" s="63"/>
      <c r="L13" s="64">
        <f t="shared" si="0"/>
        <v>0</v>
      </c>
      <c r="M13" s="73">
        <f t="shared" si="1"/>
        <v>1</v>
      </c>
      <c r="N13" s="18"/>
      <c r="P13" s="75"/>
      <c r="Q13" s="75"/>
      <c r="R13" s="75"/>
      <c r="S13" s="75"/>
      <c r="T13" s="75"/>
      <c r="U13" s="75"/>
    </row>
    <row r="14" spans="2:21" x14ac:dyDescent="0.3">
      <c r="B14" s="41" t="s">
        <v>26</v>
      </c>
      <c r="C14" s="13">
        <v>3.7999999999999999E-2</v>
      </c>
      <c r="D14" s="46"/>
      <c r="E14" s="46"/>
      <c r="F14" s="43"/>
      <c r="G14" s="43"/>
      <c r="H14" s="43"/>
      <c r="I14" s="65" t="s">
        <v>41</v>
      </c>
      <c r="J14" s="66"/>
      <c r="K14" s="66"/>
      <c r="L14" s="66"/>
      <c r="M14" s="67"/>
      <c r="N14" s="18"/>
      <c r="P14" s="75"/>
      <c r="Q14" s="75"/>
      <c r="R14" s="75"/>
      <c r="S14" s="75"/>
      <c r="T14" s="75"/>
      <c r="U14" s="75"/>
    </row>
    <row r="15" spans="2:21" x14ac:dyDescent="0.3">
      <c r="B15" s="22"/>
      <c r="C15" s="46"/>
      <c r="D15" s="46"/>
      <c r="E15" s="46"/>
      <c r="F15" s="43"/>
      <c r="G15" s="43"/>
      <c r="H15" s="43"/>
      <c r="I15" s="68"/>
      <c r="J15" s="61"/>
      <c r="K15" s="61"/>
      <c r="L15" s="61"/>
      <c r="M15" s="69"/>
      <c r="N15" s="18"/>
      <c r="P15" s="75"/>
      <c r="Q15" s="75"/>
      <c r="R15" s="75"/>
      <c r="S15" s="75"/>
      <c r="T15" s="75"/>
      <c r="U15" s="75"/>
    </row>
    <row r="16" spans="2:21" ht="15" thickBot="1" x14ac:dyDescent="0.35">
      <c r="B16" s="36" t="s">
        <v>16</v>
      </c>
      <c r="C16" s="50"/>
      <c r="D16" s="50"/>
      <c r="E16" s="50"/>
      <c r="F16" s="43"/>
      <c r="G16" s="43"/>
      <c r="H16" s="43"/>
      <c r="I16" s="70"/>
      <c r="J16" s="71"/>
      <c r="K16" s="71"/>
      <c r="L16" s="71"/>
      <c r="M16" s="72"/>
      <c r="N16" s="18"/>
      <c r="P16" s="34"/>
    </row>
    <row r="17" spans="2:18" ht="16.2" x14ac:dyDescent="0.3">
      <c r="B17" s="24" t="s">
        <v>17</v>
      </c>
      <c r="C17" s="51" t="s">
        <v>27</v>
      </c>
      <c r="D17" s="52">
        <f>(9.81*(D5-((D6+(D8*D9))*SIN(RADIANS(D4)))))/((3*D6/2)+(D8*D9*(1+POWER(D10/D7,2)))+D5)</f>
        <v>-0.6551213009611152</v>
      </c>
      <c r="E17" s="51" t="s">
        <v>18</v>
      </c>
      <c r="F17" s="43"/>
      <c r="G17" s="43"/>
      <c r="H17" s="43"/>
      <c r="I17" s="43"/>
      <c r="J17" s="43"/>
      <c r="K17" s="43"/>
      <c r="L17" s="43"/>
      <c r="M17" s="43"/>
      <c r="N17" s="18"/>
      <c r="P17" s="34"/>
    </row>
    <row r="18" spans="2:18" x14ac:dyDescent="0.3">
      <c r="B18" s="25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18"/>
      <c r="P18" s="34"/>
    </row>
    <row r="19" spans="2:18" x14ac:dyDescent="0.3">
      <c r="B19" s="37" t="s">
        <v>29</v>
      </c>
      <c r="C19" s="43"/>
      <c r="D19" s="53"/>
      <c r="E19" s="54"/>
      <c r="F19" s="43"/>
      <c r="G19" s="43"/>
      <c r="H19" s="43"/>
      <c r="I19" s="43"/>
      <c r="J19" s="43"/>
      <c r="K19" s="43"/>
      <c r="L19" s="43"/>
      <c r="M19" s="43"/>
      <c r="N19" s="18"/>
      <c r="P19" s="34"/>
    </row>
    <row r="20" spans="2:18" x14ac:dyDescent="0.3">
      <c r="B20" s="37"/>
      <c r="C20" s="43"/>
      <c r="D20" s="53"/>
      <c r="E20" s="54"/>
      <c r="F20" s="43"/>
      <c r="G20" s="43"/>
      <c r="H20" s="43"/>
      <c r="I20" s="43"/>
      <c r="J20" s="43"/>
      <c r="K20" s="43"/>
      <c r="L20" s="43"/>
      <c r="M20" s="43"/>
      <c r="N20" s="18"/>
      <c r="P20" s="34"/>
    </row>
    <row r="21" spans="2:18" x14ac:dyDescent="0.3">
      <c r="B21" s="37"/>
      <c r="C21" s="43"/>
      <c r="D21" s="53"/>
      <c r="E21" s="54"/>
      <c r="F21" s="43"/>
      <c r="G21" s="43"/>
      <c r="H21" s="43"/>
      <c r="I21" s="43"/>
      <c r="J21" s="43"/>
      <c r="K21" s="43"/>
      <c r="L21" s="43"/>
      <c r="M21" s="43"/>
      <c r="N21" s="18"/>
      <c r="P21" s="34"/>
    </row>
    <row r="22" spans="2:18" x14ac:dyDescent="0.3">
      <c r="B22" s="25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18"/>
      <c r="P22" s="34"/>
    </row>
    <row r="23" spans="2:18" ht="18" x14ac:dyDescent="0.35">
      <c r="B23" s="38" t="s">
        <v>40</v>
      </c>
      <c r="C23" s="39"/>
      <c r="D23" s="39"/>
      <c r="E23" s="39"/>
      <c r="F23" s="43"/>
      <c r="G23" s="43"/>
      <c r="H23" s="43"/>
      <c r="I23" s="43"/>
      <c r="J23" s="43"/>
      <c r="K23" s="43"/>
      <c r="L23" s="43"/>
      <c r="M23" s="43"/>
      <c r="N23" s="18"/>
      <c r="P23" s="34"/>
    </row>
    <row r="24" spans="2:18" x14ac:dyDescent="0.3">
      <c r="B24" s="26" t="s">
        <v>0</v>
      </c>
      <c r="C24" s="14" t="s">
        <v>21</v>
      </c>
      <c r="D24" s="14" t="s">
        <v>3</v>
      </c>
      <c r="E24" s="14" t="s">
        <v>4</v>
      </c>
      <c r="F24" s="43"/>
      <c r="G24" s="43"/>
      <c r="H24" s="43"/>
      <c r="I24" s="43"/>
      <c r="J24" s="43"/>
      <c r="K24" s="43"/>
      <c r="L24" s="43"/>
      <c r="M24" s="43"/>
      <c r="N24" s="18"/>
      <c r="P24" s="42"/>
      <c r="Q24" s="43"/>
      <c r="R24" s="43"/>
    </row>
    <row r="25" spans="2:18" ht="16.2" x14ac:dyDescent="0.3">
      <c r="B25" s="27" t="s">
        <v>19</v>
      </c>
      <c r="C25" s="15" t="s">
        <v>30</v>
      </c>
      <c r="D25" s="44">
        <f>D17*COS(RADIANS(D4))</f>
        <v>-0.61942935932952503</v>
      </c>
      <c r="E25" s="15" t="s">
        <v>18</v>
      </c>
      <c r="F25" s="43"/>
      <c r="G25" s="43"/>
      <c r="H25" s="43"/>
      <c r="I25" s="43"/>
      <c r="J25" s="43"/>
      <c r="K25" s="43"/>
      <c r="L25" s="43"/>
      <c r="M25" s="43"/>
      <c r="N25" s="18"/>
      <c r="P25" s="42"/>
      <c r="Q25" s="43"/>
      <c r="R25" s="43"/>
    </row>
    <row r="26" spans="2:18" ht="16.2" x14ac:dyDescent="0.3">
      <c r="B26" s="27" t="s">
        <v>20</v>
      </c>
      <c r="C26" s="15" t="s">
        <v>31</v>
      </c>
      <c r="D26" s="44">
        <f>D17*SIN(RADIANS(D4))</f>
        <v>-0.2132866328994818</v>
      </c>
      <c r="E26" s="15" t="s">
        <v>18</v>
      </c>
      <c r="F26" s="43"/>
      <c r="G26" s="43"/>
      <c r="H26" s="43"/>
      <c r="I26" s="43"/>
      <c r="J26" s="55"/>
      <c r="K26" s="55"/>
      <c r="L26" s="55"/>
      <c r="M26" s="55"/>
      <c r="N26" s="35"/>
      <c r="P26" s="42"/>
      <c r="Q26" s="43"/>
      <c r="R26" s="43"/>
    </row>
    <row r="27" spans="2:18" ht="16.2" x14ac:dyDescent="0.3">
      <c r="B27" s="28" t="s">
        <v>17</v>
      </c>
      <c r="C27" s="16" t="s">
        <v>32</v>
      </c>
      <c r="D27" s="45">
        <f>SQRT(((D25)^2)+((D26)^2))</f>
        <v>0.6551213009611152</v>
      </c>
      <c r="E27" s="16" t="s">
        <v>18</v>
      </c>
      <c r="F27" s="43"/>
      <c r="G27" s="43"/>
      <c r="H27" s="43"/>
      <c r="I27" s="43"/>
      <c r="J27" s="55"/>
      <c r="K27" s="55"/>
      <c r="L27" s="55"/>
      <c r="M27" s="55"/>
      <c r="N27" s="35"/>
      <c r="P27" s="42"/>
      <c r="Q27" s="43"/>
      <c r="R27" s="43"/>
    </row>
    <row r="28" spans="2:18" ht="15" thickBot="1" x14ac:dyDescent="0.35">
      <c r="B28" s="29"/>
      <c r="C28" s="30"/>
      <c r="D28" s="31"/>
      <c r="E28" s="30"/>
      <c r="F28" s="32"/>
      <c r="G28" s="32"/>
      <c r="H28" s="32"/>
      <c r="I28" s="32"/>
      <c r="J28" s="32"/>
      <c r="K28" s="32"/>
      <c r="L28" s="32"/>
      <c r="M28" s="32"/>
      <c r="N28" s="33"/>
      <c r="P28" s="34"/>
    </row>
    <row r="29" spans="2:18" x14ac:dyDescent="0.3">
      <c r="P29" s="34"/>
    </row>
    <row r="30" spans="2:18" x14ac:dyDescent="0.3">
      <c r="P30" s="34"/>
    </row>
    <row r="31" spans="2:18" x14ac:dyDescent="0.3">
      <c r="P31" s="34"/>
    </row>
    <row r="32" spans="2:18" x14ac:dyDescent="0.3">
      <c r="P32" s="34"/>
    </row>
    <row r="33" spans="16:16" x14ac:dyDescent="0.3">
      <c r="P33" s="34"/>
    </row>
    <row r="34" spans="16:16" x14ac:dyDescent="0.3">
      <c r="P34" s="34"/>
    </row>
    <row r="35" spans="16:16" x14ac:dyDescent="0.3">
      <c r="P35" s="34"/>
    </row>
    <row r="36" spans="16:16" x14ac:dyDescent="0.3">
      <c r="P36" s="34"/>
    </row>
    <row r="37" spans="16:16" x14ac:dyDescent="0.3">
      <c r="P37" s="34"/>
    </row>
    <row r="38" spans="16:16" x14ac:dyDescent="0.3">
      <c r="P38" s="34"/>
    </row>
    <row r="39" spans="16:16" x14ac:dyDescent="0.3">
      <c r="P39" s="34"/>
    </row>
    <row r="40" spans="16:16" x14ac:dyDescent="0.3">
      <c r="P40" s="34"/>
    </row>
    <row r="41" spans="16:16" x14ac:dyDescent="0.3">
      <c r="P41" s="34"/>
    </row>
    <row r="42" spans="16:16" x14ac:dyDescent="0.3">
      <c r="P42" s="34"/>
    </row>
  </sheetData>
  <mergeCells count="7">
    <mergeCell ref="J26:N27"/>
    <mergeCell ref="B2:N2"/>
    <mergeCell ref="I14:M16"/>
    <mergeCell ref="B1:N1"/>
    <mergeCell ref="B16:E16"/>
    <mergeCell ref="B19:B21"/>
    <mergeCell ref="B23:E23"/>
  </mergeCells>
  <dataValidations count="1">
    <dataValidation type="list" allowBlank="1" showInputMessage="1" showErrorMessage="1" sqref="D10" xr:uid="{0F7D5C33-FFE4-4A57-8239-2662619C7E76}">
      <formula1>$C$13:$C$14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F281-650A-46DA-853C-F382554561E9}">
  <dimension ref="B1:U42"/>
  <sheetViews>
    <sheetView tabSelected="1" zoomScale="70" zoomScaleNormal="70" workbookViewId="0">
      <selection activeCell="I31" sqref="I31"/>
    </sheetView>
  </sheetViews>
  <sheetFormatPr baseColWidth="10" defaultColWidth="8.88671875" defaultRowHeight="14.4" x14ac:dyDescent="0.3"/>
  <cols>
    <col min="1" max="1" width="2.33203125" style="1" customWidth="1"/>
    <col min="2" max="2" width="13.6640625" style="1" customWidth="1"/>
    <col min="3" max="3" width="32" style="1" customWidth="1"/>
    <col min="4" max="4" width="11.77734375" style="1" customWidth="1"/>
    <col min="5" max="5" width="14.21875" style="1" customWidth="1"/>
    <col min="6" max="6" width="3" style="1" customWidth="1"/>
    <col min="7" max="7" width="13.21875" style="1" customWidth="1"/>
    <col min="8" max="8" width="17.21875" style="1" customWidth="1"/>
    <col min="9" max="9" width="13.21875" style="1" customWidth="1"/>
    <col min="10" max="13" width="8.88671875" style="1"/>
    <col min="14" max="14" width="1.88671875" style="1" customWidth="1"/>
    <col min="15" max="16384" width="8.88671875" style="1"/>
  </cols>
  <sheetData>
    <row r="1" spans="2:21" ht="27.6" customHeight="1" x14ac:dyDescent="0.4">
      <c r="B1" s="79" t="s">
        <v>22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1"/>
    </row>
    <row r="2" spans="2:21" ht="31.2" customHeight="1" x14ac:dyDescent="0.3">
      <c r="B2" s="76" t="s">
        <v>42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2:21" x14ac:dyDescent="0.3">
      <c r="B3" s="17" t="s">
        <v>0</v>
      </c>
      <c r="C3" s="2" t="s">
        <v>21</v>
      </c>
      <c r="D3" s="2" t="s">
        <v>3</v>
      </c>
      <c r="E3" s="3" t="s">
        <v>4</v>
      </c>
      <c r="F3" s="43"/>
      <c r="G3" s="43"/>
      <c r="H3" s="43"/>
      <c r="I3" s="56" t="s">
        <v>38</v>
      </c>
      <c r="J3" s="56" t="s">
        <v>35</v>
      </c>
      <c r="K3" s="56" t="s">
        <v>36</v>
      </c>
      <c r="L3" s="56" t="s">
        <v>17</v>
      </c>
      <c r="M3" s="56" t="s">
        <v>39</v>
      </c>
      <c r="N3" s="18"/>
    </row>
    <row r="4" spans="2:21" x14ac:dyDescent="0.3">
      <c r="B4" s="19" t="s">
        <v>7</v>
      </c>
      <c r="C4" s="4" t="s">
        <v>1</v>
      </c>
      <c r="D4" s="8">
        <v>19</v>
      </c>
      <c r="E4" s="5" t="s">
        <v>6</v>
      </c>
      <c r="F4" s="43"/>
      <c r="G4" s="43"/>
      <c r="H4" s="43"/>
      <c r="I4" s="57">
        <v>1</v>
      </c>
      <c r="J4" s="59"/>
      <c r="K4" s="74"/>
      <c r="L4" s="60">
        <f>SQRT(POWER(2*J4,2)+POWER(K4*2,2))</f>
        <v>0</v>
      </c>
      <c r="M4" s="73">
        <f>ABS(ABS($D$17)-ABS(L4))/ABS($D$17)</f>
        <v>1</v>
      </c>
      <c r="N4" s="58"/>
    </row>
    <row r="5" spans="2:21" ht="15.6" x14ac:dyDescent="0.3">
      <c r="B5" s="20" t="s">
        <v>28</v>
      </c>
      <c r="C5" s="4" t="s">
        <v>2</v>
      </c>
      <c r="D5" s="9">
        <v>0.11192000000000001</v>
      </c>
      <c r="E5" s="5" t="s">
        <v>5</v>
      </c>
      <c r="F5" s="43"/>
      <c r="G5" s="43"/>
      <c r="H5" s="43"/>
      <c r="I5" s="57">
        <v>2</v>
      </c>
      <c r="J5" s="59"/>
      <c r="K5" s="59"/>
      <c r="L5" s="60">
        <f t="shared" ref="L5:L13" si="0">SQRT(POWER(2*J5,2)+POWER(K5*2,2))</f>
        <v>0</v>
      </c>
      <c r="M5" s="73">
        <f t="shared" ref="M5:M13" si="1">ABS(ABS($D$17)-ABS(L5))/ABS($D$17)</f>
        <v>1</v>
      </c>
      <c r="N5" s="18"/>
    </row>
    <row r="6" spans="2:21" x14ac:dyDescent="0.3">
      <c r="B6" s="20" t="s">
        <v>8</v>
      </c>
      <c r="C6" s="4" t="s">
        <v>9</v>
      </c>
      <c r="D6" s="12">
        <v>0.28036</v>
      </c>
      <c r="E6" s="5" t="s">
        <v>5</v>
      </c>
      <c r="F6" s="43"/>
      <c r="G6" s="43"/>
      <c r="H6" s="43"/>
      <c r="I6" s="57">
        <v>3</v>
      </c>
      <c r="J6" s="59"/>
      <c r="K6" s="59"/>
      <c r="L6" s="60">
        <f t="shared" si="0"/>
        <v>0</v>
      </c>
      <c r="M6" s="73">
        <f t="shared" si="1"/>
        <v>1</v>
      </c>
      <c r="N6" s="18"/>
      <c r="P6" s="75"/>
      <c r="Q6" s="75"/>
      <c r="R6" s="75"/>
      <c r="S6" s="75"/>
      <c r="T6" s="75"/>
      <c r="U6" s="75"/>
    </row>
    <row r="7" spans="2:21" x14ac:dyDescent="0.3">
      <c r="B7" s="20" t="s">
        <v>14</v>
      </c>
      <c r="C7" s="4" t="s">
        <v>15</v>
      </c>
      <c r="D7" s="12">
        <v>0.05</v>
      </c>
      <c r="E7" s="5" t="s">
        <v>12</v>
      </c>
      <c r="F7" s="43"/>
      <c r="G7" s="43"/>
      <c r="H7" s="43"/>
      <c r="I7" s="57">
        <v>4</v>
      </c>
      <c r="J7" s="59"/>
      <c r="K7" s="59"/>
      <c r="L7" s="60">
        <f t="shared" si="0"/>
        <v>0</v>
      </c>
      <c r="M7" s="73">
        <f t="shared" si="1"/>
        <v>1</v>
      </c>
      <c r="N7" s="18"/>
      <c r="P7" s="75"/>
      <c r="Q7" s="75"/>
      <c r="R7" s="75"/>
      <c r="S7" s="75"/>
      <c r="T7" s="75"/>
      <c r="U7" s="75"/>
    </row>
    <row r="8" spans="2:21" x14ac:dyDescent="0.3">
      <c r="B8" s="20" t="s">
        <v>10</v>
      </c>
      <c r="C8" s="4" t="s">
        <v>11</v>
      </c>
      <c r="D8" s="9">
        <v>4</v>
      </c>
      <c r="E8" s="5"/>
      <c r="F8" s="43"/>
      <c r="G8" s="43"/>
      <c r="H8" s="43"/>
      <c r="I8" s="57">
        <v>5</v>
      </c>
      <c r="J8" s="59"/>
      <c r="K8" s="59"/>
      <c r="L8" s="60">
        <f t="shared" si="0"/>
        <v>0</v>
      </c>
      <c r="M8" s="73">
        <f t="shared" si="1"/>
        <v>1</v>
      </c>
      <c r="N8" s="18"/>
      <c r="P8" s="75"/>
      <c r="Q8" s="75"/>
      <c r="R8" s="75"/>
      <c r="S8" s="75"/>
      <c r="T8" s="75"/>
      <c r="U8" s="75"/>
    </row>
    <row r="9" spans="2:21" x14ac:dyDescent="0.3">
      <c r="B9" s="20" t="s">
        <v>12</v>
      </c>
      <c r="C9" s="4" t="s">
        <v>13</v>
      </c>
      <c r="D9" s="12">
        <v>5.6395000000000001E-2</v>
      </c>
      <c r="E9" s="5" t="s">
        <v>5</v>
      </c>
      <c r="F9" s="43"/>
      <c r="G9" s="43"/>
      <c r="H9" s="43"/>
      <c r="I9" s="57">
        <v>6</v>
      </c>
      <c r="J9" s="59"/>
      <c r="K9" s="59"/>
      <c r="L9" s="60">
        <f t="shared" si="0"/>
        <v>0</v>
      </c>
      <c r="M9" s="73">
        <f t="shared" si="1"/>
        <v>1</v>
      </c>
      <c r="N9" s="18"/>
      <c r="P9" s="75"/>
      <c r="Q9" s="75"/>
      <c r="R9" s="75"/>
      <c r="S9" s="75"/>
      <c r="T9" s="75"/>
      <c r="U9" s="75"/>
    </row>
    <row r="10" spans="2:21" x14ac:dyDescent="0.3">
      <c r="B10" s="21" t="s">
        <v>23</v>
      </c>
      <c r="C10" s="6" t="s">
        <v>24</v>
      </c>
      <c r="D10" s="10">
        <v>3.7999999999999999E-2</v>
      </c>
      <c r="E10" s="7" t="s">
        <v>12</v>
      </c>
      <c r="F10" s="43"/>
      <c r="G10" s="43"/>
      <c r="H10" s="43"/>
      <c r="I10" s="57">
        <v>7</v>
      </c>
      <c r="J10" s="59"/>
      <c r="K10" s="59"/>
      <c r="L10" s="60">
        <f t="shared" si="0"/>
        <v>0</v>
      </c>
      <c r="M10" s="73">
        <f t="shared" si="1"/>
        <v>1</v>
      </c>
      <c r="N10" s="18"/>
      <c r="P10" s="75"/>
      <c r="Q10" s="75"/>
      <c r="R10" s="75"/>
      <c r="S10" s="75"/>
      <c r="T10" s="75"/>
      <c r="U10" s="75"/>
    </row>
    <row r="11" spans="2:21" ht="15" customHeight="1" x14ac:dyDescent="0.3">
      <c r="B11" s="22"/>
      <c r="C11" s="46"/>
      <c r="D11" s="46"/>
      <c r="E11" s="46"/>
      <c r="F11" s="43"/>
      <c r="G11" s="43"/>
      <c r="H11" s="43"/>
      <c r="I11" s="57">
        <v>8</v>
      </c>
      <c r="J11" s="59"/>
      <c r="K11" s="59"/>
      <c r="L11" s="60">
        <f t="shared" si="0"/>
        <v>0</v>
      </c>
      <c r="M11" s="73">
        <f t="shared" si="1"/>
        <v>1</v>
      </c>
      <c r="N11" s="18"/>
      <c r="P11" s="75"/>
      <c r="Q11" s="75"/>
      <c r="R11" s="75"/>
      <c r="S11" s="75"/>
      <c r="T11" s="75"/>
      <c r="U11" s="75"/>
    </row>
    <row r="12" spans="2:21" x14ac:dyDescent="0.3">
      <c r="B12" s="23" t="s">
        <v>23</v>
      </c>
      <c r="C12" s="11" t="s">
        <v>37</v>
      </c>
      <c r="D12" s="46"/>
      <c r="E12" s="47" t="s">
        <v>33</v>
      </c>
      <c r="F12" s="48"/>
      <c r="G12" s="43"/>
      <c r="H12" s="43"/>
      <c r="I12" s="57">
        <v>9</v>
      </c>
      <c r="J12" s="59"/>
      <c r="K12" s="59"/>
      <c r="L12" s="60">
        <f t="shared" si="0"/>
        <v>0</v>
      </c>
      <c r="M12" s="73">
        <f t="shared" si="1"/>
        <v>1</v>
      </c>
      <c r="N12" s="18"/>
      <c r="P12" s="75"/>
      <c r="Q12" s="75"/>
      <c r="R12" s="75"/>
      <c r="S12" s="75"/>
      <c r="T12" s="75"/>
      <c r="U12" s="75"/>
    </row>
    <row r="13" spans="2:21" ht="15" thickBot="1" x14ac:dyDescent="0.35">
      <c r="B13" s="40" t="s">
        <v>25</v>
      </c>
      <c r="C13" s="12">
        <v>1.9E-2</v>
      </c>
      <c r="D13" s="46"/>
      <c r="E13" s="49" t="s">
        <v>34</v>
      </c>
      <c r="F13" s="48"/>
      <c r="G13" s="43"/>
      <c r="H13" s="43"/>
      <c r="I13" s="62">
        <v>10</v>
      </c>
      <c r="J13" s="63"/>
      <c r="K13" s="63"/>
      <c r="L13" s="64">
        <f t="shared" si="0"/>
        <v>0</v>
      </c>
      <c r="M13" s="73">
        <f t="shared" si="1"/>
        <v>1</v>
      </c>
      <c r="N13" s="18"/>
      <c r="P13" s="75"/>
      <c r="Q13" s="75"/>
      <c r="R13" s="75"/>
      <c r="S13" s="75"/>
      <c r="T13" s="75"/>
      <c r="U13" s="75"/>
    </row>
    <row r="14" spans="2:21" x14ac:dyDescent="0.3">
      <c r="B14" s="41" t="s">
        <v>26</v>
      </c>
      <c r="C14" s="13">
        <v>3.7999999999999999E-2</v>
      </c>
      <c r="D14" s="46"/>
      <c r="E14" s="46"/>
      <c r="F14" s="43"/>
      <c r="G14" s="43"/>
      <c r="H14" s="43"/>
      <c r="I14" s="65" t="s">
        <v>41</v>
      </c>
      <c r="J14" s="66"/>
      <c r="K14" s="66"/>
      <c r="L14" s="66"/>
      <c r="M14" s="67"/>
      <c r="N14" s="18"/>
      <c r="P14" s="75"/>
      <c r="Q14" s="75"/>
      <c r="R14" s="75"/>
      <c r="S14" s="75"/>
      <c r="T14" s="75"/>
      <c r="U14" s="75"/>
    </row>
    <row r="15" spans="2:21" x14ac:dyDescent="0.3">
      <c r="B15" s="22"/>
      <c r="C15" s="46"/>
      <c r="D15" s="46"/>
      <c r="E15" s="46"/>
      <c r="F15" s="43"/>
      <c r="G15" s="43"/>
      <c r="H15" s="43"/>
      <c r="I15" s="68"/>
      <c r="J15" s="61"/>
      <c r="K15" s="61"/>
      <c r="L15" s="61"/>
      <c r="M15" s="69"/>
      <c r="N15" s="18"/>
      <c r="P15" s="75"/>
      <c r="Q15" s="75"/>
      <c r="R15" s="75"/>
      <c r="S15" s="75"/>
      <c r="T15" s="75"/>
      <c r="U15" s="75"/>
    </row>
    <row r="16" spans="2:21" ht="15" thickBot="1" x14ac:dyDescent="0.35">
      <c r="B16" s="36" t="s">
        <v>16</v>
      </c>
      <c r="C16" s="50"/>
      <c r="D16" s="50"/>
      <c r="E16" s="50"/>
      <c r="F16" s="43"/>
      <c r="G16" s="43"/>
      <c r="H16" s="43"/>
      <c r="I16" s="70"/>
      <c r="J16" s="71"/>
      <c r="K16" s="71"/>
      <c r="L16" s="71"/>
      <c r="M16" s="72"/>
      <c r="N16" s="18"/>
      <c r="P16" s="34"/>
    </row>
    <row r="17" spans="2:18" ht="16.2" x14ac:dyDescent="0.3">
      <c r="B17" s="24" t="s">
        <v>17</v>
      </c>
      <c r="C17" s="51" t="s">
        <v>27</v>
      </c>
      <c r="D17" s="52">
        <f>(9.81*(D5-((D6+(D8*D9))*SIN(RADIANS(D4)))))/((3*D6/2)+(D8*D9*(1+POWER(D10/D7,2)))+D5)</f>
        <v>-0.5830547092071694</v>
      </c>
      <c r="E17" s="51" t="s">
        <v>18</v>
      </c>
      <c r="F17" s="43"/>
      <c r="G17" s="43"/>
      <c r="H17" s="43"/>
      <c r="I17" s="43"/>
      <c r="J17" s="43"/>
      <c r="K17" s="43"/>
      <c r="L17" s="43"/>
      <c r="M17" s="43"/>
      <c r="N17" s="18"/>
      <c r="P17" s="34"/>
    </row>
    <row r="18" spans="2:18" x14ac:dyDescent="0.3">
      <c r="B18" s="25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18"/>
      <c r="P18" s="34"/>
    </row>
    <row r="19" spans="2:18" x14ac:dyDescent="0.3">
      <c r="B19" s="37" t="s">
        <v>29</v>
      </c>
      <c r="C19" s="43"/>
      <c r="D19" s="53"/>
      <c r="E19" s="54"/>
      <c r="F19" s="43"/>
      <c r="G19" s="43"/>
      <c r="H19" s="43"/>
      <c r="I19" s="43"/>
      <c r="J19" s="43"/>
      <c r="K19" s="43"/>
      <c r="L19" s="43"/>
      <c r="M19" s="43"/>
      <c r="N19" s="18"/>
      <c r="P19" s="34"/>
    </row>
    <row r="20" spans="2:18" x14ac:dyDescent="0.3">
      <c r="B20" s="37"/>
      <c r="C20" s="43"/>
      <c r="D20" s="53"/>
      <c r="E20" s="54"/>
      <c r="F20" s="43"/>
      <c r="G20" s="43"/>
      <c r="H20" s="43"/>
      <c r="I20" s="43"/>
      <c r="J20" s="43"/>
      <c r="K20" s="43"/>
      <c r="L20" s="43"/>
      <c r="M20" s="43"/>
      <c r="N20" s="18"/>
      <c r="P20" s="34"/>
    </row>
    <row r="21" spans="2:18" x14ac:dyDescent="0.3">
      <c r="B21" s="37"/>
      <c r="C21" s="43"/>
      <c r="D21" s="53"/>
      <c r="E21" s="54"/>
      <c r="F21" s="43"/>
      <c r="G21" s="43"/>
      <c r="H21" s="43"/>
      <c r="I21" s="43"/>
      <c r="J21" s="43"/>
      <c r="K21" s="43"/>
      <c r="L21" s="43"/>
      <c r="M21" s="43"/>
      <c r="N21" s="18"/>
      <c r="P21" s="34"/>
    </row>
    <row r="22" spans="2:18" x14ac:dyDescent="0.3">
      <c r="B22" s="25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18"/>
      <c r="P22" s="34"/>
    </row>
    <row r="23" spans="2:18" ht="18" x14ac:dyDescent="0.35">
      <c r="B23" s="38" t="s">
        <v>40</v>
      </c>
      <c r="C23" s="39"/>
      <c r="D23" s="39"/>
      <c r="E23" s="39"/>
      <c r="F23" s="43"/>
      <c r="G23" s="43"/>
      <c r="H23" s="43"/>
      <c r="I23" s="43"/>
      <c r="J23" s="43"/>
      <c r="K23" s="43"/>
      <c r="L23" s="43"/>
      <c r="M23" s="43"/>
      <c r="N23" s="18"/>
      <c r="P23" s="34"/>
    </row>
    <row r="24" spans="2:18" x14ac:dyDescent="0.3">
      <c r="B24" s="26" t="s">
        <v>0</v>
      </c>
      <c r="C24" s="14" t="s">
        <v>21</v>
      </c>
      <c r="D24" s="14" t="s">
        <v>3</v>
      </c>
      <c r="E24" s="14" t="s">
        <v>4</v>
      </c>
      <c r="F24" s="43"/>
      <c r="G24" s="43"/>
      <c r="H24" s="43"/>
      <c r="I24" s="43"/>
      <c r="J24" s="43"/>
      <c r="K24" s="43"/>
      <c r="L24" s="43"/>
      <c r="M24" s="43"/>
      <c r="N24" s="18"/>
      <c r="P24" s="42"/>
      <c r="Q24" s="43"/>
      <c r="R24" s="43"/>
    </row>
    <row r="25" spans="2:18" ht="16.2" x14ac:dyDescent="0.3">
      <c r="B25" s="27" t="s">
        <v>19</v>
      </c>
      <c r="C25" s="15" t="s">
        <v>30</v>
      </c>
      <c r="D25" s="44">
        <f>D17*COS(RADIANS(D4))</f>
        <v>-0.55128905814603668</v>
      </c>
      <c r="E25" s="15" t="s">
        <v>18</v>
      </c>
      <c r="F25" s="43"/>
      <c r="G25" s="43"/>
      <c r="H25" s="43"/>
      <c r="I25" s="43"/>
      <c r="J25" s="43"/>
      <c r="K25" s="43"/>
      <c r="L25" s="43"/>
      <c r="M25" s="43"/>
      <c r="N25" s="18"/>
      <c r="P25" s="42"/>
      <c r="Q25" s="43"/>
      <c r="R25" s="43"/>
    </row>
    <row r="26" spans="2:18" ht="16.2" x14ac:dyDescent="0.3">
      <c r="B26" s="27" t="s">
        <v>20</v>
      </c>
      <c r="C26" s="15" t="s">
        <v>31</v>
      </c>
      <c r="D26" s="44">
        <f>D17*SIN(RADIANS(D4))</f>
        <v>-0.1898240456241323</v>
      </c>
      <c r="E26" s="15" t="s">
        <v>18</v>
      </c>
      <c r="F26" s="43"/>
      <c r="G26" s="43"/>
      <c r="H26" s="43"/>
      <c r="I26" s="43"/>
      <c r="J26" s="55"/>
      <c r="K26" s="55"/>
      <c r="L26" s="55"/>
      <c r="M26" s="55"/>
      <c r="N26" s="35"/>
      <c r="P26" s="42"/>
      <c r="Q26" s="43"/>
      <c r="R26" s="43"/>
    </row>
    <row r="27" spans="2:18" ht="16.2" x14ac:dyDescent="0.3">
      <c r="B27" s="28" t="s">
        <v>17</v>
      </c>
      <c r="C27" s="16" t="s">
        <v>32</v>
      </c>
      <c r="D27" s="45">
        <f>SQRT(((D25)^2)+((D26)^2))</f>
        <v>0.5830547092071694</v>
      </c>
      <c r="E27" s="16" t="s">
        <v>18</v>
      </c>
      <c r="F27" s="43"/>
      <c r="G27" s="43"/>
      <c r="H27" s="43"/>
      <c r="I27" s="43"/>
      <c r="J27" s="55"/>
      <c r="K27" s="55"/>
      <c r="L27" s="55"/>
      <c r="M27" s="55"/>
      <c r="N27" s="35"/>
      <c r="P27" s="42"/>
      <c r="Q27" s="43"/>
      <c r="R27" s="43"/>
    </row>
    <row r="28" spans="2:18" ht="15" thickBot="1" x14ac:dyDescent="0.35">
      <c r="B28" s="29"/>
      <c r="C28" s="30"/>
      <c r="D28" s="31"/>
      <c r="E28" s="30"/>
      <c r="F28" s="32"/>
      <c r="G28" s="32"/>
      <c r="H28" s="32"/>
      <c r="I28" s="32"/>
      <c r="J28" s="32"/>
      <c r="K28" s="32"/>
      <c r="L28" s="32"/>
      <c r="M28" s="32"/>
      <c r="N28" s="33"/>
      <c r="P28" s="34"/>
    </row>
    <row r="29" spans="2:18" x14ac:dyDescent="0.3">
      <c r="P29" s="34"/>
    </row>
    <row r="30" spans="2:18" x14ac:dyDescent="0.3">
      <c r="P30" s="34"/>
    </row>
    <row r="31" spans="2:18" x14ac:dyDescent="0.3">
      <c r="P31" s="34"/>
    </row>
    <row r="32" spans="2:18" x14ac:dyDescent="0.3">
      <c r="P32" s="34"/>
    </row>
    <row r="33" spans="16:16" x14ac:dyDescent="0.3">
      <c r="P33" s="34"/>
    </row>
    <row r="34" spans="16:16" x14ac:dyDescent="0.3">
      <c r="P34" s="34"/>
    </row>
    <row r="35" spans="16:16" x14ac:dyDescent="0.3">
      <c r="P35" s="34"/>
    </row>
    <row r="36" spans="16:16" x14ac:dyDescent="0.3">
      <c r="P36" s="34"/>
    </row>
    <row r="37" spans="16:16" x14ac:dyDescent="0.3">
      <c r="P37" s="34"/>
    </row>
    <row r="38" spans="16:16" x14ac:dyDescent="0.3">
      <c r="P38" s="34"/>
    </row>
    <row r="39" spans="16:16" x14ac:dyDescent="0.3">
      <c r="P39" s="34"/>
    </row>
    <row r="40" spans="16:16" x14ac:dyDescent="0.3">
      <c r="P40" s="34"/>
    </row>
    <row r="41" spans="16:16" x14ac:dyDescent="0.3">
      <c r="P41" s="34"/>
    </row>
    <row r="42" spans="16:16" x14ac:dyDescent="0.3">
      <c r="P42" s="34"/>
    </row>
  </sheetData>
  <mergeCells count="7">
    <mergeCell ref="J26:N27"/>
    <mergeCell ref="B1:N1"/>
    <mergeCell ref="B2:N2"/>
    <mergeCell ref="I14:M16"/>
    <mergeCell ref="B16:E16"/>
    <mergeCell ref="B19:B21"/>
    <mergeCell ref="B23:E23"/>
  </mergeCells>
  <dataValidations count="1">
    <dataValidation type="list" allowBlank="1" showInputMessage="1" showErrorMessage="1" sqref="D10" xr:uid="{7F519F51-585A-4D52-A0CD-80E9E38032EB}">
      <formula1>$C$13:$C$14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Rint</vt:lpstr>
      <vt:lpstr>Rext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Barreto;Luis Pabón-Orozco</dc:creator>
  <cp:lastModifiedBy>Luis Israel Pabon Orozco</cp:lastModifiedBy>
  <dcterms:created xsi:type="dcterms:W3CDTF">2025-06-13T03:28:04Z</dcterms:created>
  <dcterms:modified xsi:type="dcterms:W3CDTF">2025-12-08T05:03:55Z</dcterms:modified>
</cp:coreProperties>
</file>